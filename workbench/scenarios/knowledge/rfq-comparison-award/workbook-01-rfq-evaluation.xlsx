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>
    <definedName name="_xlnm._FilterDatabase" localSheetId="0" hidden="1">'Analysis'!$A$1:$G$4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Quote</t>
        </is>
      </c>
      <c r="C1" s="1" t="inlineStr">
        <is>
          <t>Currency</t>
        </is>
      </c>
      <c r="D1" s="1" t="inlineStr">
        <is>
          <t>Term</t>
        </is>
      </c>
      <c r="E1" s="1" t="inlineStr">
        <is>
          <t>Lead weeks</t>
        </is>
      </c>
      <c r="F1" s="1" t="inlineStr">
        <is>
          <t>Normalized EUR</t>
        </is>
      </c>
      <c r="G1" s="1" t="inlineStr">
        <is>
          <t>Score</t>
        </is>
      </c>
    </row>
    <row r="2">
      <c r="A2" t="inlineStr">
        <is>
          <t>Aster Dynamics</t>
        </is>
      </c>
      <c r="B2" t="n">
        <v>198</v>
      </c>
      <c r="C2" t="inlineStr">
        <is>
          <t>USD</t>
        </is>
      </c>
      <c r="D2" t="inlineStr">
        <is>
          <t>FCA</t>
        </is>
      </c>
      <c r="E2" t="n">
        <v>10</v>
      </c>
      <c r="F2">
        <f>198*2400/1.09+24000</f>
        <v/>
      </c>
      <c r="G2" t="n">
        <v>81</v>
      </c>
    </row>
    <row r="3">
      <c r="A3" t="inlineStr">
        <is>
          <t>Boreal Motion</t>
        </is>
      </c>
      <c r="B3" t="n">
        <v>203</v>
      </c>
      <c r="C3" t="inlineStr">
        <is>
          <t>EUR</t>
        </is>
      </c>
      <c r="D3" t="inlineStr">
        <is>
          <t>DDP</t>
        </is>
      </c>
      <c r="E3" t="n">
        <v>9</v>
      </c>
      <c r="F3">
        <f>203*2400</f>
        <v/>
      </c>
      <c r="G3" t="n">
        <v>88</v>
      </c>
    </row>
    <row r="4">
      <c r="A4" t="inlineStr">
        <is>
          <t>Cinder Industrial</t>
        </is>
      </c>
      <c r="B4" t="n">
        <v>171</v>
      </c>
      <c r="C4" t="inlineStr">
        <is>
          <t>GBP</t>
        </is>
      </c>
      <c r="D4" t="inlineStr">
        <is>
          <t>CIF</t>
        </is>
      </c>
      <c r="E4" t="n">
        <v>12</v>
      </c>
      <c r="F4">
        <f>171*2400*0.86+18000/0.86+12000</f>
        <v/>
      </c>
      <c r="G4" t="n">
        <v>74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2026-10-08T20:54:47Z</dcterms:created>
  <dcterms:modified xmlns:dcterms="http://purl.org/dc/terms/" xmlns:xsi="http://www.w3.org/2001/XMLSchema-instance" xsi:type="dcterms:W3CDTF">2026-10-08T20:54:47Z</dcterms:modified>
</cp:coreProperties>
</file>