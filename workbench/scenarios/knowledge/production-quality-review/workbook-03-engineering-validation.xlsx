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alidation matrix" sheetId="1" state="visible" r:id="rId1"/>
    <sheet xmlns:r="http://schemas.openxmlformats.org/officeDocument/2006/relationships" name="Summary" sheetId="2" state="visible" r:id="rId2"/>
  </sheets>
  <definedNames>
    <definedName name="_xlnm._FilterDatabase" localSheetId="0" hidden="1">'Validation matrix'!$A$1:$H$6</definedName>
    <definedName name="_xlnm._FilterDatabase" localSheetId="1" hidden="1">'Summary'!$A$1:$C$4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28" customWidth="1" min="3" max="3"/>
    <col width="13" customWidth="1" min="4" max="4"/>
    <col width="12" customWidth="1" min="5" max="5"/>
    <col width="12" customWidth="1" min="6" max="6"/>
    <col width="27" customWidth="1" min="7" max="7"/>
    <col width="12" customWidth="1" min="8" max="8"/>
  </cols>
  <sheetData>
    <row r="1">
      <c r="A1" s="1" t="inlineStr">
        <is>
          <t>Test ID</t>
        </is>
      </c>
      <c r="B1" s="1" t="inlineStr">
        <is>
          <t>Test</t>
        </is>
      </c>
      <c r="C1" s="1" t="inlineStr">
        <is>
          <t>Acceptance criterion</t>
        </is>
      </c>
      <c r="D1" s="1" t="inlineStr">
        <is>
          <t>Sample size</t>
        </is>
      </c>
      <c r="E1" s="1" t="inlineStr">
        <is>
          <t>Pass</t>
        </is>
      </c>
      <c r="F1" s="1" t="inlineStr">
        <is>
          <t>Fail</t>
        </is>
      </c>
      <c r="G1" s="1" t="inlineStr">
        <is>
          <t>Status</t>
        </is>
      </c>
      <c r="H1" s="1" t="inlineStr">
        <is>
          <t>Owner</t>
        </is>
      </c>
    </row>
    <row r="2">
      <c r="A2" t="inlineStr">
        <is>
          <t>EV-01</t>
        </is>
      </c>
      <c r="B2" t="inlineStr">
        <is>
          <t>Cold-start diagnostic</t>
        </is>
      </c>
      <c r="C2" t="inlineStr">
        <is>
          <t>No false BMS warning after 20 cycles</t>
        </is>
      </c>
      <c r="D2" t="n">
        <v>30</v>
      </c>
      <c r="E2" t="n">
        <v>29</v>
      </c>
      <c r="F2" t="n">
        <v>1</v>
      </c>
      <c r="G2">
        <f>IF(F2=0,"Pass","Review")</f>
        <v/>
      </c>
      <c r="H2" t="inlineStr">
        <is>
          <t>Priya Nair</t>
        </is>
      </c>
    </row>
    <row r="3">
      <c r="A3" t="inlineStr">
        <is>
          <t>EV-02</t>
        </is>
      </c>
      <c r="B3" t="inlineStr">
        <is>
          <t>Low-voltage recovery</t>
        </is>
      </c>
      <c r="C3" t="inlineStr">
        <is>
          <t>Recovery within 60 seconds</t>
        </is>
      </c>
      <c r="D3" t="n">
        <v>30</v>
      </c>
      <c r="E3" t="n">
        <v>30</v>
      </c>
      <c r="F3" t="n">
        <v>0</v>
      </c>
      <c r="G3">
        <f>IF(F3=0,"Pass","Review")</f>
        <v/>
      </c>
      <c r="H3" t="inlineStr">
        <is>
          <t>Priya Nair</t>
        </is>
      </c>
    </row>
    <row r="4">
      <c r="A4" t="inlineStr">
        <is>
          <t>EV-03</t>
        </is>
      </c>
      <c r="B4" t="inlineStr">
        <is>
          <t>Thermal transition</t>
        </is>
      </c>
      <c r="C4" t="inlineStr">
        <is>
          <t>No repeat fault at 45C ambient</t>
        </is>
      </c>
      <c r="D4" t="n">
        <v>24</v>
      </c>
      <c r="E4" t="n">
        <v>23</v>
      </c>
      <c r="F4" t="n">
        <v>1</v>
      </c>
      <c r="G4">
        <f>IF(F4=0,"Pass","Review")</f>
        <v/>
      </c>
      <c r="H4" t="inlineStr">
        <is>
          <t>Priya Nair</t>
        </is>
      </c>
    </row>
    <row r="5">
      <c r="A5" t="inlineStr">
        <is>
          <t>EV-04</t>
        </is>
      </c>
      <c r="B5" t="inlineStr">
        <is>
          <t>Firmware rollback comparison</t>
        </is>
      </c>
      <c r="C5" t="inlineStr">
        <is>
          <t>3.8.1 and 3.8.2 delta understood</t>
        </is>
      </c>
      <c r="D5" t="n">
        <v>12</v>
      </c>
      <c r="E5" t="n">
        <v>12</v>
      </c>
      <c r="F5" t="n">
        <v>0</v>
      </c>
      <c r="G5">
        <f>IF(F5=0,"Pass","Review")</f>
        <v/>
      </c>
      <c r="H5" t="inlineStr">
        <is>
          <t>Priya Nair</t>
        </is>
      </c>
    </row>
    <row r="6">
      <c r="A6" t="inlineStr">
        <is>
          <t>EV-05</t>
        </is>
      </c>
      <c r="B6" t="inlineStr">
        <is>
          <t>Harness disturbance</t>
        </is>
      </c>
      <c r="C6" t="inlineStr">
        <is>
          <t>No latent fault after vibration sequence</t>
        </is>
      </c>
      <c r="D6" t="n">
        <v>18</v>
      </c>
      <c r="E6" t="n">
        <v>17</v>
      </c>
      <c r="F6" t="n">
        <v>1</v>
      </c>
      <c r="G6">
        <f>IF(F6=0,"Pass","Review")</f>
        <v/>
      </c>
      <c r="H6" t="inlineStr">
        <is>
          <t>Maya Chen</t>
        </is>
      </c>
    </row>
  </sheetData>
  <autoFilter ref="A1:H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28" customWidth="1" min="3" max="3"/>
  </cols>
  <sheetData>
    <row r="1">
      <c r="A1" s="1" t="inlineStr">
        <is>
          <t>Metric</t>
        </is>
      </c>
      <c r="B1" s="1" t="inlineStr">
        <is>
          <t>Value</t>
        </is>
      </c>
      <c r="C1" s="1" t="inlineStr">
        <is>
          <t>Formula / note</t>
        </is>
      </c>
    </row>
    <row r="2">
      <c r="A2" t="inlineStr">
        <is>
          <t>Total tests</t>
        </is>
      </c>
      <c r="B2">
        <f>SUM(D2:D6)</f>
        <v/>
      </c>
      <c r="C2" t="inlineStr">
        <is>
          <t>Calculated sample count</t>
        </is>
      </c>
    </row>
    <row r="3">
      <c r="A3" t="inlineStr">
        <is>
          <t>Total failures</t>
        </is>
      </c>
      <c r="B3">
        <f>SUM(F2:F6)</f>
        <v/>
      </c>
      <c r="C3" t="inlineStr">
        <is>
          <t>Failures require disposition</t>
        </is>
      </c>
    </row>
    <row r="4">
      <c r="A4" t="inlineStr">
        <is>
          <t>Pass rate</t>
        </is>
      </c>
      <c r="B4">
        <f>SUM(E2:E6)/SUM(D2:D6)</f>
        <v/>
      </c>
      <c r="C4" t="inlineStr">
        <is>
          <t>Overall validation pass rate</t>
        </is>
      </c>
    </row>
  </sheetData>
  <autoFilter ref="A1:C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2026-10-08T19:57:08Z</dcterms:created>
  <dcterms:modified xmlns:dcterms="http://purl.org/dc/terms/" xmlns:xsi="http://www.w3.org/2001/XMLSchema-instance" xsi:type="dcterms:W3CDTF">2026-10-08T19:57:08Z</dcterms:modified>
</cp:coreProperties>
</file>