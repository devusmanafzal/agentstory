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trend" sheetId="1" state="visible" r:id="rId1"/>
    <sheet xmlns:r="http://schemas.openxmlformats.org/officeDocument/2006/relationships" name="Lot summary" sheetId="2" state="visible" r:id="rId2"/>
  </sheets>
  <definedNames>
    <definedName name="_xlnm._FilterDatabase" localSheetId="0" hidden="1">'Weekly trend'!$A$1:$F$8</definedName>
    <definedName name="_xlnm._FilterDatabase" localSheetId="1" hidden="1">'Lot summary'!$A$1:$G$8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BMS fault count</a:t>
            </a:r>
          </a:p>
        </rich>
      </tx>
    </title>
    <plotArea>
      <lineChart>
        <grouping val="standard"/>
        <ser>
          <idx val="0"/>
          <order val="0"/>
          <tx>
            <strRef>
              <f>'Weekly trend'!C1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trend'!$A$2:$A$8</f>
            </numRef>
          </cat>
          <val>
            <numRef>
              <f>'Weekly trend'!$C$2:$C$8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Faults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2" customWidth="1" min="3" max="3"/>
    <col width="15" customWidth="1" min="4" max="4"/>
    <col width="15" customWidth="1" min="5" max="5"/>
    <col width="28" customWidth="1" min="6" max="6"/>
  </cols>
  <sheetData>
    <row r="1">
      <c r="A1" s="1" t="inlineStr">
        <is>
          <t>Week starting</t>
        </is>
      </c>
      <c r="B1" s="1" t="inlineStr">
        <is>
          <t>Production volume</t>
        </is>
      </c>
      <c r="C1" s="1" t="inlineStr">
        <is>
          <t>BMS faults</t>
        </is>
      </c>
      <c r="D1" s="1" t="inlineStr">
        <is>
          <t>Defect rate</t>
        </is>
      </c>
      <c r="E1" s="1" t="inlineStr">
        <is>
          <t>Baseline rate</t>
        </is>
      </c>
      <c r="F1" s="1" t="inlineStr">
        <is>
          <t>Signal</t>
        </is>
      </c>
    </row>
    <row r="2">
      <c r="A2" t="inlineStr">
        <is>
          <t>2026-01-05</t>
        </is>
      </c>
      <c r="B2" t="n">
        <v>1240</v>
      </c>
      <c r="C2" t="n">
        <v>4</v>
      </c>
      <c r="D2">
        <f>C2/B2</f>
        <v/>
      </c>
      <c r="E2" t="n">
        <v>0.004</v>
      </c>
      <c r="F2">
        <f>IF(D2&gt;E2*2,"Escalate","Monitor")</f>
        <v/>
      </c>
    </row>
    <row r="3">
      <c r="A3" t="inlineStr">
        <is>
          <t>2026-01-12</t>
        </is>
      </c>
      <c r="B3" t="n">
        <v>1310</v>
      </c>
      <c r="C3" t="n">
        <v>6</v>
      </c>
      <c r="D3">
        <f>C3/B3</f>
        <v/>
      </c>
      <c r="E3" t="n">
        <v>0.004</v>
      </c>
      <c r="F3">
        <f>IF(D3&gt;E3*2,"Escalate","Monitor")</f>
        <v/>
      </c>
    </row>
    <row r="4">
      <c r="A4" t="inlineStr">
        <is>
          <t>2026-01-19</t>
        </is>
      </c>
      <c r="B4" t="n">
        <v>1295</v>
      </c>
      <c r="C4" t="n">
        <v>7</v>
      </c>
      <c r="D4">
        <f>C4/B4</f>
        <v/>
      </c>
      <c r="E4" t="n">
        <v>0.004</v>
      </c>
      <c r="F4">
        <f>IF(D4&gt;E4*2,"Escalate","Monitor")</f>
        <v/>
      </c>
    </row>
    <row r="5">
      <c r="A5" t="inlineStr">
        <is>
          <t>2026-01-26</t>
        </is>
      </c>
      <c r="B5" t="n">
        <v>1330</v>
      </c>
      <c r="C5" t="n">
        <v>13</v>
      </c>
      <c r="D5">
        <f>C5/B5</f>
        <v/>
      </c>
      <c r="E5" t="n">
        <v>0.004</v>
      </c>
      <c r="F5">
        <f>IF(D5&gt;E5*2,"Escalate","Monitor")</f>
        <v/>
      </c>
    </row>
    <row r="6">
      <c r="A6" t="inlineStr">
        <is>
          <t>2026-02-02</t>
        </is>
      </c>
      <c r="B6" t="n">
        <v>1365</v>
      </c>
      <c r="C6" t="n">
        <v>18</v>
      </c>
      <c r="D6">
        <f>C6/B6</f>
        <v/>
      </c>
      <c r="E6" t="n">
        <v>0.004</v>
      </c>
      <c r="F6">
        <f>IF(D6&gt;E6*2,"Escalate","Monitor")</f>
        <v/>
      </c>
    </row>
    <row r="7">
      <c r="A7" t="inlineStr">
        <is>
          <t>2026-02-09</t>
        </is>
      </c>
      <c r="B7" t="n">
        <v>1280</v>
      </c>
      <c r="C7" t="n">
        <v>16</v>
      </c>
      <c r="D7">
        <f>C7/B7</f>
        <v/>
      </c>
      <c r="E7" t="n">
        <v>0.004</v>
      </c>
      <c r="F7">
        <f>IF(D7&gt;E7*2,"Escalate","Monitor")</f>
        <v/>
      </c>
    </row>
    <row r="8">
      <c r="A8" t="inlineStr">
        <is>
          <t>2026-02-16</t>
        </is>
      </c>
      <c r="B8" t="n">
        <v>1185</v>
      </c>
      <c r="C8" t="n">
        <v>9</v>
      </c>
      <c r="D8">
        <f>C8/B8</f>
        <v/>
      </c>
      <c r="E8" t="n">
        <v>0.004</v>
      </c>
      <c r="F8">
        <f>IF(D8&gt;E8*2,"Escalate","Monitor")</f>
        <v/>
      </c>
    </row>
  </sheetData>
  <autoFilter ref="A1:F8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7" customWidth="1" min="5" max="5"/>
    <col width="13" customWidth="1" min="6" max="6"/>
    <col width="13" customWidth="1" min="7" max="7"/>
  </cols>
  <sheetData>
    <row r="1">
      <c r="A1" s="1" t="inlineStr">
        <is>
          <t>Lot</t>
        </is>
      </c>
      <c r="B1" s="1" t="inlineStr">
        <is>
          <t>Build date</t>
        </is>
      </c>
      <c r="C1" s="1" t="inlineStr">
        <is>
          <t>Firmware</t>
        </is>
      </c>
      <c r="D1" s="1" t="inlineStr">
        <is>
          <t>Units built</t>
        </is>
      </c>
      <c r="E1" s="1" t="inlineStr">
        <is>
          <t>Faults observed</t>
        </is>
      </c>
      <c r="F1" s="1" t="inlineStr">
        <is>
          <t>Defect rate</t>
        </is>
      </c>
      <c r="G1" s="1" t="inlineStr">
        <is>
          <t>Disposition</t>
        </is>
      </c>
    </row>
    <row r="2">
      <c r="A2" t="inlineStr">
        <is>
          <t>L260108-A</t>
        </is>
      </c>
      <c r="B2" t="inlineStr">
        <is>
          <t>2026-01-08</t>
        </is>
      </c>
      <c r="C2" t="inlineStr">
        <is>
          <t>3.8.1</t>
        </is>
      </c>
      <c r="D2" t="n">
        <v>420</v>
      </c>
      <c r="E2" t="n">
        <v>1</v>
      </c>
      <c r="F2">
        <f>E2/D2</f>
        <v/>
      </c>
      <c r="G2" t="inlineStr">
        <is>
          <t>Release</t>
        </is>
      </c>
    </row>
    <row r="3">
      <c r="A3" t="inlineStr">
        <is>
          <t>L260115-B</t>
        </is>
      </c>
      <c r="B3" t="inlineStr">
        <is>
          <t>2026-01-15</t>
        </is>
      </c>
      <c r="C3" t="inlineStr">
        <is>
          <t>3.8.1</t>
        </is>
      </c>
      <c r="D3" t="n">
        <v>430</v>
      </c>
      <c r="E3" t="n">
        <v>2</v>
      </c>
      <c r="F3">
        <f>E3/D3</f>
        <v/>
      </c>
      <c r="G3" t="inlineStr">
        <is>
          <t>Release</t>
        </is>
      </c>
    </row>
    <row r="4">
      <c r="A4" t="inlineStr">
        <is>
          <t>L260122-C</t>
        </is>
      </c>
      <c r="B4" t="inlineStr">
        <is>
          <t>2026-01-22</t>
        </is>
      </c>
      <c r="C4" t="inlineStr">
        <is>
          <t>3.8.2</t>
        </is>
      </c>
      <c r="D4" t="n">
        <v>438</v>
      </c>
      <c r="E4" t="n">
        <v>2</v>
      </c>
      <c r="F4">
        <f>E4/D4</f>
        <v/>
      </c>
      <c r="G4" t="inlineStr">
        <is>
          <t>Monitor</t>
        </is>
      </c>
    </row>
    <row r="5">
      <c r="A5" t="inlineStr">
        <is>
          <t>L260129-D</t>
        </is>
      </c>
      <c r="B5" t="inlineStr">
        <is>
          <t>2026-01-29</t>
        </is>
      </c>
      <c r="C5" t="inlineStr">
        <is>
          <t>3.8.2</t>
        </is>
      </c>
      <c r="D5" t="n">
        <v>446</v>
      </c>
      <c r="E5" t="n">
        <v>6</v>
      </c>
      <c r="F5">
        <f>E5/D5</f>
        <v/>
      </c>
      <c r="G5" t="inlineStr">
        <is>
          <t>Contain</t>
        </is>
      </c>
    </row>
    <row r="6">
      <c r="A6" t="inlineStr">
        <is>
          <t>L260205-E</t>
        </is>
      </c>
      <c r="B6" t="inlineStr">
        <is>
          <t>2026-02-05</t>
        </is>
      </c>
      <c r="C6" t="inlineStr">
        <is>
          <t>3.8.2</t>
        </is>
      </c>
      <c r="D6" t="n">
        <v>455</v>
      </c>
      <c r="E6" t="n">
        <v>8</v>
      </c>
      <c r="F6">
        <f>E6/D6</f>
        <v/>
      </c>
      <c r="G6" t="inlineStr">
        <is>
          <t>Contain</t>
        </is>
      </c>
    </row>
    <row r="7">
      <c r="A7" t="inlineStr">
        <is>
          <t>L260212-F</t>
        </is>
      </c>
      <c r="B7" t="inlineStr">
        <is>
          <t>2026-02-12</t>
        </is>
      </c>
      <c r="C7" t="inlineStr">
        <is>
          <t>3.8.2</t>
        </is>
      </c>
      <c r="D7" t="n">
        <v>425</v>
      </c>
      <c r="E7" t="n">
        <v>7</v>
      </c>
      <c r="F7">
        <f>E7/D7</f>
        <v/>
      </c>
      <c r="G7" t="inlineStr">
        <is>
          <t>Contain</t>
        </is>
      </c>
    </row>
    <row r="8">
      <c r="A8" t="inlineStr">
        <is>
          <t>L260219-G</t>
        </is>
      </c>
      <c r="B8" t="inlineStr">
        <is>
          <t>2026-02-19</t>
        </is>
      </c>
      <c r="C8" t="inlineStr">
        <is>
          <t>3.8.3</t>
        </is>
      </c>
      <c r="D8" t="n">
        <v>160</v>
      </c>
      <c r="E8" t="n">
        <v>1</v>
      </c>
      <c r="F8">
        <f>E8/D8</f>
        <v/>
      </c>
      <c r="G8" t="inlineStr">
        <is>
          <t>Validation</t>
        </is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2026-10-08T19:57:08Z</dcterms:created>
  <dcterms:modified xmlns:dcterms="http://purl.org/dc/terms/" xmlns:xsi="http://www.w3.org/2001/XMLSchema-instance" xsi:type="dcterms:W3CDTF">2026-10-08T19:57:08Z</dcterms:modified>
</cp:coreProperties>
</file>